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2024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Draft - DO NOT CIRCULAT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C1" s="1" t="inlineStr">
        <is>
          <t>Performance</t>
        </is>
      </c>
    </row>
    <row r="2">
      <c r="A2" s="2" t="inlineStr">
        <is>
          <t>State</t>
        </is>
      </c>
      <c r="B2" s="2" t="inlineStr">
        <is>
          <t>LGA</t>
        </is>
      </c>
      <c r="C2" s="2" t="inlineStr">
        <is>
          <t>Volume (t)</t>
        </is>
      </c>
      <c r="D2" s="2" t="inlineStr">
        <is>
          <t>Revenue (NGN m)</t>
        </is>
      </c>
      <c r="E2" s="2" t="inlineStr">
        <is>
          <t>Opened</t>
        </is>
      </c>
      <c r="F2" s="2" t="inlineStr">
        <is>
          <t>Rev per tonne</t>
        </is>
      </c>
    </row>
    <row r="3">
      <c r="A3" t="inlineStr">
        <is>
          <t>Lagos</t>
        </is>
      </c>
      <c r="B3" t="inlineStr">
        <is>
          <t>Ikeja</t>
        </is>
      </c>
      <c r="C3" t="n">
        <v>21999</v>
      </c>
      <c r="D3" t="n">
        <v>12969.8</v>
      </c>
      <c r="E3" s="3" t="n">
        <v>43699</v>
      </c>
      <c r="F3">
        <f>D3*1000/C3</f>
        <v/>
      </c>
    </row>
    <row r="4">
      <c r="A4" t="inlineStr">
        <is>
          <t>Lagos</t>
        </is>
      </c>
      <c r="B4" t="inlineStr">
        <is>
          <t>Apapa</t>
        </is>
      </c>
      <c r="C4" t="n">
        <v>4119</v>
      </c>
      <c r="D4" t="n">
        <v>2193.3</v>
      </c>
      <c r="E4" s="3" t="n">
        <v>44395</v>
      </c>
      <c r="F4">
        <f>D4*1000/C4</f>
        <v/>
      </c>
    </row>
    <row r="5">
      <c r="A5" t="inlineStr">
        <is>
          <t>Ogun</t>
        </is>
      </c>
      <c r="B5" t="inlineStr">
        <is>
          <t>Abeokuta</t>
        </is>
      </c>
      <c r="C5" t="n">
        <v>27850</v>
      </c>
      <c r="D5" t="n">
        <v>14502</v>
      </c>
      <c r="E5" s="3" t="n">
        <v>43794</v>
      </c>
      <c r="F5">
        <f>D5*1000/C5</f>
        <v/>
      </c>
    </row>
    <row r="6">
      <c r="A6" t="inlineStr">
        <is>
          <t>Oyo</t>
        </is>
      </c>
      <c r="B6" t="inlineStr">
        <is>
          <t>Ibadan North</t>
        </is>
      </c>
      <c r="C6" t="n">
        <v>15582</v>
      </c>
      <c r="D6" t="n">
        <v>7336</v>
      </c>
      <c r="E6" s="3" t="n">
        <v>43556</v>
      </c>
      <c r="F6">
        <f>D6*1000/C6</f>
        <v/>
      </c>
    </row>
    <row r="7">
      <c r="A7" t="inlineStr">
        <is>
          <t>Kaduna</t>
        </is>
      </c>
      <c r="B7" t="inlineStr">
        <is>
          <t>Kaduna South</t>
        </is>
      </c>
      <c r="C7" t="n">
        <v>17486</v>
      </c>
      <c r="D7" t="n">
        <v>9404.5</v>
      </c>
      <c r="E7" s="3" t="n">
        <v>45374</v>
      </c>
      <c r="F7">
        <f>D7*1000/C7</f>
        <v/>
      </c>
    </row>
    <row r="8">
      <c r="A8" t="inlineStr">
        <is>
          <t>Kaduna</t>
        </is>
      </c>
      <c r="B8" t="inlineStr">
        <is>
          <t>Zaria</t>
        </is>
      </c>
      <c r="C8" t="n">
        <v>4623</v>
      </c>
      <c r="D8" t="n">
        <v>2034.7</v>
      </c>
      <c r="E8" s="3" t="n">
        <v>44982</v>
      </c>
      <c r="F8">
        <f>D8*1000/C8</f>
        <v/>
      </c>
    </row>
    <row r="9">
      <c r="A9" t="inlineStr">
        <is>
          <t>Kano</t>
        </is>
      </c>
      <c r="B9" t="inlineStr">
        <is>
          <t>Kano Municipal</t>
        </is>
      </c>
      <c r="C9" t="n">
        <v>35652</v>
      </c>
      <c r="D9" t="n">
        <v>17827.3</v>
      </c>
      <c r="E9" s="3" t="n">
        <v>44577</v>
      </c>
      <c r="F9">
        <f>D9*1000/C9</f>
        <v/>
      </c>
    </row>
    <row r="10">
      <c r="A10" t="inlineStr">
        <is>
          <t>Rivers</t>
        </is>
      </c>
      <c r="B10" t="inlineStr">
        <is>
          <t>Port Harcourt</t>
        </is>
      </c>
      <c r="C10" t="n">
        <v>44134</v>
      </c>
      <c r="D10" t="n">
        <v>24693</v>
      </c>
      <c r="E10" s="3" t="n">
        <v>44263</v>
      </c>
      <c r="F10">
        <f>D10*1000/C10</f>
        <v/>
      </c>
    </row>
    <row r="11">
      <c r="A11" t="inlineStr">
        <is>
          <t>FCT</t>
        </is>
      </c>
      <c r="B11" t="inlineStr">
        <is>
          <t>Abuja Municipal</t>
        </is>
      </c>
      <c r="C11" t="n">
        <v>6771</v>
      </c>
      <c r="D11" t="n">
        <v>3108.4</v>
      </c>
      <c r="E11" s="3" t="n">
        <v>43600</v>
      </c>
      <c r="F11">
        <f>D11*1000/C11</f>
        <v/>
      </c>
    </row>
    <row r="12">
      <c r="A12" t="inlineStr">
        <is>
          <t>Enugu</t>
        </is>
      </c>
      <c r="B12" t="inlineStr">
        <is>
          <t>Enugu North</t>
        </is>
      </c>
      <c r="C12" t="n">
        <v>41608</v>
      </c>
      <c r="D12" t="n">
        <v>20393.3</v>
      </c>
      <c r="E12" s="3" t="n">
        <v>43880</v>
      </c>
      <c r="F12">
        <f>D12*1000/C12</f>
        <v/>
      </c>
    </row>
    <row r="13">
      <c r="A13" t="inlineStr">
        <is>
          <t>Delta</t>
        </is>
      </c>
      <c r="B13" t="inlineStr">
        <is>
          <t>Warri</t>
        </is>
      </c>
      <c r="C13" t="n">
        <v>43697</v>
      </c>
      <c r="D13" t="n">
        <v>20146.4</v>
      </c>
      <c r="E13" s="3" t="n">
        <v>45033</v>
      </c>
      <c r="F13">
        <f>D13*1000/C13</f>
        <v/>
      </c>
    </row>
    <row r="14">
      <c r="A14" t="inlineStr">
        <is>
          <t>Plateau</t>
        </is>
      </c>
      <c r="B14" t="inlineStr">
        <is>
          <t>Jos North</t>
        </is>
      </c>
      <c r="C14" t="n">
        <v>26775</v>
      </c>
      <c r="D14" t="n">
        <v>14122.5</v>
      </c>
      <c r="E14" s="3" t="n">
        <v>45289</v>
      </c>
      <c r="F14">
        <f>D14*1000/C14</f>
        <v/>
      </c>
    </row>
    <row r="16">
      <c r="A16" s="2" t="inlineStr">
        <is>
          <t>TOTAL</t>
        </is>
      </c>
      <c r="C16">
        <f>SUM(C3:C14)</f>
        <v/>
      </c>
    </row>
  </sheetData>
  <mergeCells count="1">
    <mergeCell ref="C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Basis of preparation</t>
        </is>
      </c>
    </row>
    <row r="2">
      <c r="A2" t="inlineStr">
        <is>
          <t>Volumes are net of internal transfers. Revenue is recognised on despatch. Figures for Zaria reflect the second line from commissioning in April 2024 only.</t>
        </is>
      </c>
    </row>
    <row r="4">
      <c r="A4" t="inlineStr">
        <is>
          <t>Rev per tonne is a derived column and is not reported externally.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Pre-audit figures, superseded 9 Feb 2025</t>
        </is>
      </c>
    </row>
    <row r="3">
      <c r="A3" t="inlineStr">
        <is>
          <t>Total volume (t)</t>
        </is>
      </c>
      <c r="B3" t="n">
        <v>264100</v>
      </c>
    </row>
    <row r="4">
      <c r="A4" t="inlineStr">
        <is>
          <t>Total volume per audited accounts (t)</t>
        </is>
      </c>
      <c r="B4" t="n">
        <v>271400</v>
      </c>
    </row>
    <row r="6">
      <c r="A6" t="inlineStr">
        <is>
          <t>Variance relates to Warri despatches recorded in December but delivered in January. Do not use the pre-audit figure.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2026-09-04T10:52:30Z</dcterms:created>
  <dcterms:modified xmlns:dcterms="http://purl.org/dc/terms/" xmlns:xsi="http://www.w3.org/2001/XMLSchema-instance" xsi:type="dcterms:W3CDTF">2026-09-04T10:52:30Z</dcterms:modified>
</cp:coreProperties>
</file>